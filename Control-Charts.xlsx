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igene\Jobs\Weiterbildungen\Projekt\"/>
    </mc:Choice>
  </mc:AlternateContent>
  <xr:revisionPtr revIDLastSave="0" documentId="13_ncr:1_{E882B145-9E43-4B68-8586-1BC2D2B2882A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1. SPC" sheetId="1" r:id="rId1"/>
    <sheet name="2. SP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2" l="1"/>
  <c r="B11" i="2" s="1"/>
  <c r="U13" i="2"/>
  <c r="R13" i="2"/>
  <c r="U12" i="2"/>
  <c r="U14" i="2" s="1"/>
  <c r="U7" i="2" s="1"/>
  <c r="P12" i="2"/>
  <c r="K12" i="2"/>
  <c r="U11" i="2"/>
  <c r="U10" i="2"/>
  <c r="U9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R14" i="1"/>
  <c r="B10" i="1" s="1"/>
  <c r="R13" i="1"/>
  <c r="K12" i="1" s="1"/>
  <c r="U12" i="1"/>
  <c r="U13" i="1" s="1"/>
  <c r="U10" i="1"/>
  <c r="U9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I10" i="1" l="1"/>
  <c r="H10" i="1"/>
  <c r="E10" i="1"/>
  <c r="D10" i="1"/>
  <c r="C10" i="1"/>
  <c r="G10" i="1"/>
  <c r="F10" i="1"/>
  <c r="K10" i="1"/>
  <c r="J10" i="1"/>
  <c r="L12" i="2"/>
  <c r="B11" i="1"/>
  <c r="U14" i="1"/>
  <c r="U7" i="1" s="1"/>
  <c r="M12" i="2"/>
  <c r="I12" i="2"/>
  <c r="B8" i="1"/>
  <c r="U11" i="1"/>
  <c r="U15" i="1"/>
  <c r="N12" i="2"/>
  <c r="O12" i="2"/>
  <c r="B12" i="1"/>
  <c r="U16" i="1"/>
  <c r="C12" i="1"/>
  <c r="U18" i="1"/>
  <c r="U19" i="1" s="1"/>
  <c r="U15" i="2"/>
  <c r="U8" i="2" s="1"/>
  <c r="I12" i="1"/>
  <c r="F12" i="2"/>
  <c r="B9" i="1"/>
  <c r="J12" i="1"/>
  <c r="G12" i="2"/>
  <c r="U16" i="2"/>
  <c r="D12" i="1"/>
  <c r="E12" i="1"/>
  <c r="B12" i="2"/>
  <c r="F12" i="1"/>
  <c r="C12" i="2"/>
  <c r="G12" i="1"/>
  <c r="D12" i="2"/>
  <c r="H12" i="1"/>
  <c r="E12" i="2"/>
  <c r="H12" i="2"/>
  <c r="U18" i="2"/>
  <c r="U5" i="2" s="1"/>
  <c r="B8" i="2"/>
  <c r="B9" i="2"/>
  <c r="B10" i="2"/>
  <c r="J12" i="2"/>
  <c r="L10" i="2" l="1"/>
  <c r="J10" i="2"/>
  <c r="G10" i="2"/>
  <c r="F10" i="2"/>
  <c r="E10" i="2"/>
  <c r="D10" i="2"/>
  <c r="C10" i="2"/>
  <c r="I10" i="2"/>
  <c r="H10" i="2"/>
  <c r="P10" i="2"/>
  <c r="N10" i="2"/>
  <c r="M10" i="2"/>
  <c r="K10" i="2"/>
  <c r="O10" i="2"/>
  <c r="L8" i="2"/>
  <c r="J8" i="2"/>
  <c r="G8" i="2"/>
  <c r="F8" i="2"/>
  <c r="E8" i="2"/>
  <c r="D8" i="2"/>
  <c r="C8" i="2"/>
  <c r="I8" i="2"/>
  <c r="H8" i="2"/>
  <c r="P8" i="2"/>
  <c r="N8" i="2"/>
  <c r="M8" i="2"/>
  <c r="K8" i="2"/>
  <c r="O8" i="2"/>
  <c r="L9" i="2"/>
  <c r="J9" i="2"/>
  <c r="G9" i="2"/>
  <c r="F9" i="2"/>
  <c r="E9" i="2"/>
  <c r="D9" i="2"/>
  <c r="C9" i="2"/>
  <c r="I9" i="2"/>
  <c r="H9" i="2"/>
  <c r="P9" i="2"/>
  <c r="M9" i="2"/>
  <c r="K9" i="2"/>
  <c r="O9" i="2"/>
  <c r="N9" i="2"/>
  <c r="D9" i="1"/>
  <c r="C9" i="1"/>
  <c r="K9" i="1"/>
  <c r="J9" i="1"/>
  <c r="I9" i="1"/>
  <c r="G9" i="1"/>
  <c r="F9" i="1"/>
  <c r="E9" i="1"/>
  <c r="H9" i="1"/>
  <c r="U20" i="1"/>
  <c r="U6" i="1" s="1"/>
  <c r="U8" i="1"/>
  <c r="U5" i="1"/>
  <c r="K8" i="1"/>
  <c r="J8" i="1"/>
  <c r="I8" i="1"/>
  <c r="H8" i="1"/>
  <c r="G8" i="1"/>
  <c r="F8" i="1"/>
  <c r="E8" i="1"/>
  <c r="D8" i="1"/>
  <c r="C8" i="1"/>
  <c r="U20" i="2"/>
  <c r="U19" i="2"/>
  <c r="U6" i="2" s="1"/>
</calcChain>
</file>

<file path=xl/sharedStrings.xml><?xml version="1.0" encoding="utf-8"?>
<sst xmlns="http://schemas.openxmlformats.org/spreadsheetml/2006/main" count="72" uniqueCount="33">
  <si>
    <t>Time</t>
  </si>
  <si>
    <t>Readings</t>
  </si>
  <si>
    <t>Capability</t>
  </si>
  <si>
    <t>Range</t>
  </si>
  <si>
    <t>Cp</t>
  </si>
  <si>
    <t>USL</t>
  </si>
  <si>
    <t>Cpk</t>
  </si>
  <si>
    <t>LSL</t>
  </si>
  <si>
    <t>Pp</t>
  </si>
  <si>
    <t>X, UCL</t>
  </si>
  <si>
    <t>x-bar + E2*Rbar</t>
  </si>
  <si>
    <t>Ppk</t>
  </si>
  <si>
    <t>X, LCL</t>
  </si>
  <si>
    <t>x-bar - E2*Rbar</t>
  </si>
  <si>
    <t>MR, UCL</t>
  </si>
  <si>
    <t>D4*Rbar</t>
  </si>
  <si>
    <t>MR, LCL</t>
  </si>
  <si>
    <t>D3*Rbar</t>
  </si>
  <si>
    <t>Spec.-Range</t>
  </si>
  <si>
    <t>X-bar</t>
  </si>
  <si>
    <t>Stdev. S</t>
  </si>
  <si>
    <t>3*s</t>
  </si>
  <si>
    <t>R-bar</t>
  </si>
  <si>
    <t>6*s</t>
  </si>
  <si>
    <t>E2</t>
  </si>
  <si>
    <t>Ppu</t>
  </si>
  <si>
    <t>D4</t>
  </si>
  <si>
    <t>Ppl</t>
  </si>
  <si>
    <t>D3</t>
  </si>
  <si>
    <t>d2</t>
  </si>
  <si>
    <t>sigma hat</t>
  </si>
  <si>
    <t>Cpu</t>
  </si>
  <si>
    <t>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</si>
</sst>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de-DE"/>
            </a:pPr>
            <a:r>
              <a:rPr lang="de-DE" sz="1800" b="0">
                <a:latin typeface="Arial" panose="020B0604020202020204" pitchFamily="34" charset="0"/>
                <a:cs typeface="Arial" panose="020B0604020202020204" pitchFamily="34" charset="0"/>
              </a:rPr>
              <a:t>IX-Chart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SPC'!$A$4</c:f>
              <c:strCache>
                <c:ptCount val="1"/>
                <c:pt idx="0">
                  <c:v>Readings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'1. SPC'!$B$4:$K$4</c:f>
              <c:numCache>
                <c:formatCode>0.00</c:formatCode>
                <c:ptCount val="10"/>
                <c:pt idx="0">
                  <c:v>90.45</c:v>
                </c:pt>
                <c:pt idx="1">
                  <c:v>87.555999999999997</c:v>
                </c:pt>
                <c:pt idx="2">
                  <c:v>89.588999999999999</c:v>
                </c:pt>
                <c:pt idx="3">
                  <c:v>91.837999999999994</c:v>
                </c:pt>
                <c:pt idx="4">
                  <c:v>89.338999999999999</c:v>
                </c:pt>
                <c:pt idx="5">
                  <c:v>92.716999999999999</c:v>
                </c:pt>
                <c:pt idx="6">
                  <c:v>93.414000000000001</c:v>
                </c:pt>
                <c:pt idx="7">
                  <c:v>92.745000000000005</c:v>
                </c:pt>
                <c:pt idx="8">
                  <c:v>91.554000000000002</c:v>
                </c:pt>
                <c:pt idx="9">
                  <c:v>90.537999999999997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F-4ACC-8F64-C0951996C2E3}"/>
            </c:ext>
          </c:extLst>
        </c:ser>
        <c:ser>
          <c:idx val="1"/>
          <c:order val="1"/>
          <c:tx>
            <c:strRef>
              <c:f>'1. SPC'!$A$8</c:f>
              <c:strCache>
                <c:ptCount val="1"/>
                <c:pt idx="0">
                  <c:v>X,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'1. SPC'!$B$8:$K$8</c:f>
              <c:numCache>
                <c:formatCode>0.00</c:formatCode>
                <c:ptCount val="10"/>
                <c:pt idx="0">
                  <c:v>95.887906666666666</c:v>
                </c:pt>
                <c:pt idx="1">
                  <c:v>95.887906666666666</c:v>
                </c:pt>
                <c:pt idx="2">
                  <c:v>95.887906666666666</c:v>
                </c:pt>
                <c:pt idx="3">
                  <c:v>95.887906666666666</c:v>
                </c:pt>
                <c:pt idx="4">
                  <c:v>95.887906666666666</c:v>
                </c:pt>
                <c:pt idx="5">
                  <c:v>95.887906666666666</c:v>
                </c:pt>
                <c:pt idx="6">
                  <c:v>95.887906666666666</c:v>
                </c:pt>
                <c:pt idx="7">
                  <c:v>95.887906666666666</c:v>
                </c:pt>
                <c:pt idx="8">
                  <c:v>95.887906666666666</c:v>
                </c:pt>
                <c:pt idx="9">
                  <c:v>95.887906666666666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F-4ACC-8F64-C0951996C2E3}"/>
            </c:ext>
          </c:extLst>
        </c:ser>
        <c:ser>
          <c:idx val="2"/>
          <c:order val="2"/>
          <c:tx>
            <c:strRef>
              <c:f>'1. SPC'!$A$9</c:f>
              <c:strCache>
                <c:ptCount val="1"/>
                <c:pt idx="0">
                  <c:v>X,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'1. SPC'!$B$9:$K$9</c:f>
              <c:numCache>
                <c:formatCode>0.00</c:formatCode>
                <c:ptCount val="10"/>
                <c:pt idx="0">
                  <c:v>86.060093333333342</c:v>
                </c:pt>
                <c:pt idx="1">
                  <c:v>86.060093333333342</c:v>
                </c:pt>
                <c:pt idx="2">
                  <c:v>86.060093333333342</c:v>
                </c:pt>
                <c:pt idx="3">
                  <c:v>86.060093333333342</c:v>
                </c:pt>
                <c:pt idx="4">
                  <c:v>86.060093333333342</c:v>
                </c:pt>
                <c:pt idx="5">
                  <c:v>86.060093333333342</c:v>
                </c:pt>
                <c:pt idx="6">
                  <c:v>86.060093333333342</c:v>
                </c:pt>
                <c:pt idx="7">
                  <c:v>86.060093333333342</c:v>
                </c:pt>
                <c:pt idx="8">
                  <c:v>86.060093333333342</c:v>
                </c:pt>
                <c:pt idx="9">
                  <c:v>86.060093333333342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2F-4ACC-8F64-C0951996C2E3}"/>
            </c:ext>
          </c:extLst>
        </c:ser>
        <c:ser>
          <c:idx val="3"/>
          <c:order val="3"/>
          <c:tx>
            <c:v>X-bar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'1. SPC'!$B$12:$K$12</c:f>
              <c:numCache>
                <c:formatCode>0.00</c:formatCode>
                <c:ptCount val="10"/>
                <c:pt idx="0">
                  <c:v>90.974000000000004</c:v>
                </c:pt>
                <c:pt idx="1">
                  <c:v>90.974000000000004</c:v>
                </c:pt>
                <c:pt idx="2">
                  <c:v>90.974000000000004</c:v>
                </c:pt>
                <c:pt idx="3">
                  <c:v>90.974000000000004</c:v>
                </c:pt>
                <c:pt idx="4">
                  <c:v>90.974000000000004</c:v>
                </c:pt>
                <c:pt idx="5">
                  <c:v>90.974000000000004</c:v>
                </c:pt>
                <c:pt idx="6">
                  <c:v>90.974000000000004</c:v>
                </c:pt>
                <c:pt idx="7">
                  <c:v>90.974000000000004</c:v>
                </c:pt>
                <c:pt idx="8">
                  <c:v>90.974000000000004</c:v>
                </c:pt>
                <c:pt idx="9">
                  <c:v>90.974000000000004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2F-4ACC-8F64-C0951996C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231039"/>
        <c:axId val="1219241599"/>
      </c:lineChart>
      <c:catAx>
        <c:axId val="1219231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241599"/>
        <c:crosses val="autoZero"/>
        <c:auto val="1"/>
        <c:lblAlgn val="ctr"/>
        <c:lblOffset val="100"/>
        <c:noMultiLvlLbl val="0"/>
      </c:catAx>
      <c:valAx>
        <c:axId val="1219241599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23103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MR-Chart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SPC'!$A$5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'1. SPC'!$B$5:$K$5</c:f>
              <c:numCache>
                <c:formatCode>0.00</c:formatCode>
                <c:ptCount val="10"/>
                <c:pt idx="1">
                  <c:v>2.8940000000000055</c:v>
                </c:pt>
                <c:pt idx="2">
                  <c:v>2.0330000000000013</c:v>
                </c:pt>
                <c:pt idx="3">
                  <c:v>2.2489999999999952</c:v>
                </c:pt>
                <c:pt idx="4">
                  <c:v>2.4989999999999952</c:v>
                </c:pt>
                <c:pt idx="5">
                  <c:v>3.3780000000000001</c:v>
                </c:pt>
                <c:pt idx="6">
                  <c:v>0.69700000000000273</c:v>
                </c:pt>
                <c:pt idx="7">
                  <c:v>0.66899999999999693</c:v>
                </c:pt>
                <c:pt idx="8">
                  <c:v>1.1910000000000025</c:v>
                </c:pt>
                <c:pt idx="9">
                  <c:v>1.0160000000000053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9-4EBA-B939-C1A45DCD4F90}"/>
            </c:ext>
          </c:extLst>
        </c:ser>
        <c:ser>
          <c:idx val="1"/>
          <c:order val="1"/>
          <c:tx>
            <c:strRef>
              <c:f>'1. SPC'!$A$10</c:f>
              <c:strCache>
                <c:ptCount val="1"/>
                <c:pt idx="0">
                  <c:v>MR,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'1. SPC'!$B$10:$K$10</c:f>
              <c:numCache>
                <c:formatCode>0.00</c:formatCode>
                <c:ptCount val="10"/>
                <c:pt idx="0">
                  <c:v>6.0352380000000014</c:v>
                </c:pt>
                <c:pt idx="1">
                  <c:v>6.0352380000000014</c:v>
                </c:pt>
                <c:pt idx="2">
                  <c:v>6.0352380000000014</c:v>
                </c:pt>
                <c:pt idx="3">
                  <c:v>6.0352380000000014</c:v>
                </c:pt>
                <c:pt idx="4">
                  <c:v>6.0352380000000014</c:v>
                </c:pt>
                <c:pt idx="5">
                  <c:v>6.0352380000000014</c:v>
                </c:pt>
                <c:pt idx="6">
                  <c:v>6.0352380000000014</c:v>
                </c:pt>
                <c:pt idx="7">
                  <c:v>6.0352380000000014</c:v>
                </c:pt>
                <c:pt idx="8">
                  <c:v>6.0352380000000014</c:v>
                </c:pt>
                <c:pt idx="9">
                  <c:v>6.0352380000000014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9-4EBA-B939-C1A45DCD4F90}"/>
            </c:ext>
          </c:extLst>
        </c:ser>
        <c:ser>
          <c:idx val="2"/>
          <c:order val="2"/>
          <c:tx>
            <c:strRef>
              <c:f>'1. SPC'!$A$11</c:f>
              <c:strCache>
                <c:ptCount val="1"/>
                <c:pt idx="0">
                  <c:v>MR,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'1. SPC'!$B$11:$K$11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9-4EBA-B939-C1A45DCD4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475040"/>
        <c:axId val="1242465440"/>
      </c:lineChart>
      <c:catAx>
        <c:axId val="124247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2465440"/>
        <c:crosses val="autoZero"/>
        <c:auto val="1"/>
        <c:lblAlgn val="ctr"/>
        <c:lblOffset val="100"/>
        <c:noMultiLvlLbl val="0"/>
      </c:catAx>
      <c:valAx>
        <c:axId val="12424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24750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IX-Chart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SPC'!$A$4</c:f>
              <c:strCache>
                <c:ptCount val="1"/>
                <c:pt idx="0">
                  <c:v>Readings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'2. SPC'!$B$4:$P$4</c:f>
              <c:numCache>
                <c:formatCode>0.00</c:formatCode>
                <c:ptCount val="15"/>
                <c:pt idx="0">
                  <c:v>97.296000000000006</c:v>
                </c:pt>
                <c:pt idx="1">
                  <c:v>99.822000000000003</c:v>
                </c:pt>
                <c:pt idx="2">
                  <c:v>94.106999999999999</c:v>
                </c:pt>
                <c:pt idx="3">
                  <c:v>93.748000000000005</c:v>
                </c:pt>
                <c:pt idx="4">
                  <c:v>103.55200000000001</c:v>
                </c:pt>
                <c:pt idx="5">
                  <c:v>101.56699999999999</c:v>
                </c:pt>
                <c:pt idx="6">
                  <c:v>102.752</c:v>
                </c:pt>
                <c:pt idx="7">
                  <c:v>98.266999999999996</c:v>
                </c:pt>
                <c:pt idx="8">
                  <c:v>101.346</c:v>
                </c:pt>
                <c:pt idx="9">
                  <c:v>99.826999999999998</c:v>
                </c:pt>
                <c:pt idx="10">
                  <c:v>98.4</c:v>
                </c:pt>
                <c:pt idx="11">
                  <c:v>95.974999999999994</c:v>
                </c:pt>
                <c:pt idx="12">
                  <c:v>97.977999999999994</c:v>
                </c:pt>
                <c:pt idx="13">
                  <c:v>101.292</c:v>
                </c:pt>
                <c:pt idx="14">
                  <c:v>98.081999999999994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8-4487-A292-559418FCC3A6}"/>
            </c:ext>
          </c:extLst>
        </c:ser>
        <c:ser>
          <c:idx val="1"/>
          <c:order val="1"/>
          <c:tx>
            <c:strRef>
              <c:f>'2. SPC'!$A$8</c:f>
              <c:strCache>
                <c:ptCount val="1"/>
                <c:pt idx="0">
                  <c:v>X,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'2. SPC'!$B$8:$P$8</c:f>
              <c:numCache>
                <c:formatCode>0.00</c:formatCode>
                <c:ptCount val="15"/>
                <c:pt idx="0">
                  <c:v>107.11090666666668</c:v>
                </c:pt>
                <c:pt idx="1">
                  <c:v>107.11090666666668</c:v>
                </c:pt>
                <c:pt idx="2">
                  <c:v>107.11090666666668</c:v>
                </c:pt>
                <c:pt idx="3">
                  <c:v>107.11090666666668</c:v>
                </c:pt>
                <c:pt idx="4">
                  <c:v>107.11090666666668</c:v>
                </c:pt>
                <c:pt idx="5">
                  <c:v>107.11090666666668</c:v>
                </c:pt>
                <c:pt idx="6">
                  <c:v>107.11090666666668</c:v>
                </c:pt>
                <c:pt idx="7">
                  <c:v>107.11090666666668</c:v>
                </c:pt>
                <c:pt idx="8">
                  <c:v>107.11090666666668</c:v>
                </c:pt>
                <c:pt idx="9">
                  <c:v>107.11090666666668</c:v>
                </c:pt>
                <c:pt idx="10">
                  <c:v>107.11090666666668</c:v>
                </c:pt>
                <c:pt idx="11">
                  <c:v>107.11090666666668</c:v>
                </c:pt>
                <c:pt idx="12">
                  <c:v>107.11090666666668</c:v>
                </c:pt>
                <c:pt idx="13">
                  <c:v>107.11090666666668</c:v>
                </c:pt>
                <c:pt idx="14">
                  <c:v>107.11090666666668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8-4487-A292-559418FCC3A6}"/>
            </c:ext>
          </c:extLst>
        </c:ser>
        <c:ser>
          <c:idx val="2"/>
          <c:order val="2"/>
          <c:tx>
            <c:strRef>
              <c:f>'1. SPC'!$A$9</c:f>
              <c:strCache>
                <c:ptCount val="1"/>
                <c:pt idx="0">
                  <c:v>X,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'2. SPC'!$B$9:$P$9</c:f>
              <c:numCache>
                <c:formatCode>0.00</c:formatCode>
                <c:ptCount val="15"/>
                <c:pt idx="0">
                  <c:v>90.757226666666654</c:v>
                </c:pt>
                <c:pt idx="1">
                  <c:v>90.757226666666654</c:v>
                </c:pt>
                <c:pt idx="2">
                  <c:v>90.757226666666654</c:v>
                </c:pt>
                <c:pt idx="3">
                  <c:v>90.757226666666654</c:v>
                </c:pt>
                <c:pt idx="4">
                  <c:v>90.757226666666654</c:v>
                </c:pt>
                <c:pt idx="5">
                  <c:v>90.757226666666654</c:v>
                </c:pt>
                <c:pt idx="6">
                  <c:v>90.757226666666654</c:v>
                </c:pt>
                <c:pt idx="7">
                  <c:v>90.757226666666654</c:v>
                </c:pt>
                <c:pt idx="8">
                  <c:v>90.757226666666654</c:v>
                </c:pt>
                <c:pt idx="9">
                  <c:v>90.757226666666654</c:v>
                </c:pt>
                <c:pt idx="10">
                  <c:v>90.757226666666654</c:v>
                </c:pt>
                <c:pt idx="11">
                  <c:v>90.757226666666654</c:v>
                </c:pt>
                <c:pt idx="12">
                  <c:v>90.757226666666654</c:v>
                </c:pt>
                <c:pt idx="13">
                  <c:v>90.757226666666654</c:v>
                </c:pt>
                <c:pt idx="14">
                  <c:v>90.757226666666654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18-4487-A292-559418FCC3A6}"/>
            </c:ext>
          </c:extLst>
        </c:ser>
        <c:ser>
          <c:idx val="3"/>
          <c:order val="3"/>
          <c:tx>
            <c:v>X-bar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'2. SPC'!$B$12:$P$12</c:f>
              <c:numCache>
                <c:formatCode>0.00</c:formatCode>
                <c:ptCount val="15"/>
                <c:pt idx="0">
                  <c:v>98.934066666666666</c:v>
                </c:pt>
                <c:pt idx="1">
                  <c:v>98.934066666666666</c:v>
                </c:pt>
                <c:pt idx="2">
                  <c:v>98.934066666666666</c:v>
                </c:pt>
                <c:pt idx="3">
                  <c:v>98.934066666666666</c:v>
                </c:pt>
                <c:pt idx="4">
                  <c:v>98.934066666666666</c:v>
                </c:pt>
                <c:pt idx="5">
                  <c:v>98.934066666666666</c:v>
                </c:pt>
                <c:pt idx="6">
                  <c:v>98.934066666666666</c:v>
                </c:pt>
                <c:pt idx="7">
                  <c:v>98.934066666666666</c:v>
                </c:pt>
                <c:pt idx="8">
                  <c:v>98.934066666666666</c:v>
                </c:pt>
                <c:pt idx="9">
                  <c:v>98.934066666666666</c:v>
                </c:pt>
                <c:pt idx="10">
                  <c:v>98.934066666666666</c:v>
                </c:pt>
                <c:pt idx="11">
                  <c:v>98.934066666666666</c:v>
                </c:pt>
                <c:pt idx="12">
                  <c:v>98.934066666666666</c:v>
                </c:pt>
                <c:pt idx="13">
                  <c:v>98.934066666666666</c:v>
                </c:pt>
                <c:pt idx="14">
                  <c:v>98.934066666666666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18-4487-A292-559418FC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231039"/>
        <c:axId val="1219241599"/>
      </c:lineChart>
      <c:catAx>
        <c:axId val="1219231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241599"/>
        <c:crosses val="autoZero"/>
        <c:auto val="1"/>
        <c:lblAlgn val="ctr"/>
        <c:lblOffset val="100"/>
        <c:noMultiLvlLbl val="0"/>
      </c:catAx>
      <c:valAx>
        <c:axId val="1219241599"/>
        <c:scaling>
          <c:orientation val="minMax"/>
          <c:max val="13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23103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MR-Chart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SPC'!$A$5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'2. SPC'!$B$5:$P$5</c:f>
              <c:numCache>
                <c:formatCode>0.00</c:formatCode>
                <c:ptCount val="15"/>
                <c:pt idx="1">
                  <c:v>2.5259999999999962</c:v>
                </c:pt>
                <c:pt idx="2">
                  <c:v>5.7150000000000034</c:v>
                </c:pt>
                <c:pt idx="3">
                  <c:v>0.35899999999999466</c:v>
                </c:pt>
                <c:pt idx="4">
                  <c:v>9.804000000000002</c:v>
                </c:pt>
                <c:pt idx="5">
                  <c:v>1.9850000000000136</c:v>
                </c:pt>
                <c:pt idx="6">
                  <c:v>1.1850000000000023</c:v>
                </c:pt>
                <c:pt idx="7">
                  <c:v>4.4849999999999994</c:v>
                </c:pt>
                <c:pt idx="8">
                  <c:v>3.0790000000000077</c:v>
                </c:pt>
                <c:pt idx="9">
                  <c:v>1.5190000000000055</c:v>
                </c:pt>
                <c:pt idx="10">
                  <c:v>1.4269999999999925</c:v>
                </c:pt>
                <c:pt idx="11">
                  <c:v>2.4250000000000114</c:v>
                </c:pt>
                <c:pt idx="12">
                  <c:v>2.0030000000000001</c:v>
                </c:pt>
                <c:pt idx="13">
                  <c:v>3.3140000000000072</c:v>
                </c:pt>
                <c:pt idx="14">
                  <c:v>3.210000000000008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6-4593-966D-1CF2A4A6B476}"/>
            </c:ext>
          </c:extLst>
        </c:ser>
        <c:ser>
          <c:idx val="1"/>
          <c:order val="1"/>
          <c:tx>
            <c:strRef>
              <c:f>'2. SPC'!$A$10</c:f>
              <c:strCache>
                <c:ptCount val="1"/>
                <c:pt idx="0">
                  <c:v>MR,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'2. SPC'!$B$10:$P$10</c:f>
              <c:numCache>
                <c:formatCode>0.00</c:formatCode>
                <c:ptCount val="15"/>
                <c:pt idx="0">
                  <c:v>10.04275800000001</c:v>
                </c:pt>
                <c:pt idx="1">
                  <c:v>10.04275800000001</c:v>
                </c:pt>
                <c:pt idx="2">
                  <c:v>10.04275800000001</c:v>
                </c:pt>
                <c:pt idx="3">
                  <c:v>10.04275800000001</c:v>
                </c:pt>
                <c:pt idx="4">
                  <c:v>10.04275800000001</c:v>
                </c:pt>
                <c:pt idx="5">
                  <c:v>10.04275800000001</c:v>
                </c:pt>
                <c:pt idx="6">
                  <c:v>10.04275800000001</c:v>
                </c:pt>
                <c:pt idx="7">
                  <c:v>10.04275800000001</c:v>
                </c:pt>
                <c:pt idx="8">
                  <c:v>10.04275800000001</c:v>
                </c:pt>
                <c:pt idx="9">
                  <c:v>10.04275800000001</c:v>
                </c:pt>
                <c:pt idx="10">
                  <c:v>10.04275800000001</c:v>
                </c:pt>
                <c:pt idx="11">
                  <c:v>10.04275800000001</c:v>
                </c:pt>
                <c:pt idx="12">
                  <c:v>10.04275800000001</c:v>
                </c:pt>
                <c:pt idx="13">
                  <c:v>10.04275800000001</c:v>
                </c:pt>
                <c:pt idx="14">
                  <c:v>10.04275800000001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6-4593-966D-1CF2A4A6B476}"/>
            </c:ext>
          </c:extLst>
        </c:ser>
        <c:ser>
          <c:idx val="2"/>
          <c:order val="2"/>
          <c:tx>
            <c:strRef>
              <c:f>'2. SPC'!$A$11</c:f>
              <c:strCache>
                <c:ptCount val="1"/>
                <c:pt idx="0">
                  <c:v>MR,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'2. SPC'!$B$11:$P$11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6-4593-966D-1CF2A4A6B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475040"/>
        <c:axId val="1242465440"/>
      </c:lineChart>
      <c:catAx>
        <c:axId val="124247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2465440"/>
        <c:crosses val="autoZero"/>
        <c:auto val="1"/>
        <c:lblAlgn val="ctr"/>
        <c:lblOffset val="100"/>
        <c:noMultiLvlLbl val="0"/>
      </c:catAx>
      <c:valAx>
        <c:axId val="12424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24750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409989</xdr:colOff>
      <xdr:row>12</xdr:row>
      <xdr:rowOff>128587</xdr:rowOff>
    </xdr:from>
    <xdr:to>
      <xdr:col>13</xdr:col>
      <xdr:colOff>265043</xdr:colOff>
      <xdr:row>27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471487</xdr:colOff>
      <xdr:row>26</xdr:row>
      <xdr:rowOff>165652</xdr:rowOff>
    </xdr:from>
    <xdr:to>
      <xdr:col>13</xdr:col>
      <xdr:colOff>265043</xdr:colOff>
      <xdr:row>41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12</xdr:row>
      <xdr:rowOff>128587</xdr:rowOff>
    </xdr:from>
    <xdr:to>
      <xdr:col>12</xdr:col>
      <xdr:colOff>104775</xdr:colOff>
      <xdr:row>27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471487</xdr:colOff>
      <xdr:row>27</xdr:row>
      <xdr:rowOff>33337</xdr:rowOff>
    </xdr:from>
    <xdr:to>
      <xdr:col>12</xdr:col>
      <xdr:colOff>100012</xdr:colOff>
      <xdr:row>41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7"/>
  <sheetViews>
    <sheetView zoomScale="115" zoomScaleNormal="115" workbookViewId="0">
      <selection activeCell="T5" sqref="T5:U8"/>
    </sheetView>
  </sheetViews>
  <sheetFormatPr baseColWidth="10" defaultColWidth="9.140625" defaultRowHeight="15" x14ac:dyDescent="0.25"/>
  <cols>
    <col min="1" max="1" width="11.28515625" customWidth="1"/>
    <col min="2" max="11" width="6.140625" bestFit="1" customWidth="1"/>
    <col min="12" max="16" width="5.7109375" customWidth="1"/>
    <col min="17" max="17" width="7" customWidth="1"/>
    <col min="18" max="18" width="10.5703125" style="3" customWidth="1"/>
    <col min="19" max="19" width="5.7109375" customWidth="1"/>
    <col min="20" max="20" width="12" bestFit="1" customWidth="1"/>
    <col min="21" max="21" width="24.42578125" bestFit="1" customWidth="1"/>
    <col min="22" max="33" width="5.7109375" customWidth="1"/>
  </cols>
  <sheetData>
    <row r="2" spans="1:21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</row>
    <row r="3" spans="1:21" ht="9.7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1" ht="18.75" customHeight="1" x14ac:dyDescent="0.25">
      <c r="A4" s="1" t="s">
        <v>1</v>
      </c>
      <c r="B4" s="4">
        <v>90.45</v>
      </c>
      <c r="C4" s="4">
        <v>87.555999999999997</v>
      </c>
      <c r="D4" s="4">
        <v>89.588999999999999</v>
      </c>
      <c r="E4" s="4">
        <v>91.837999999999994</v>
      </c>
      <c r="F4" s="4">
        <v>89.338999999999999</v>
      </c>
      <c r="G4" s="4">
        <v>92.716999999999999</v>
      </c>
      <c r="H4" s="4">
        <v>93.414000000000001</v>
      </c>
      <c r="I4" s="4">
        <v>92.745000000000005</v>
      </c>
      <c r="J4" s="4">
        <v>91.554000000000002</v>
      </c>
      <c r="K4" s="4">
        <v>90.537999999999997</v>
      </c>
      <c r="L4" s="4"/>
      <c r="M4" s="4"/>
      <c r="N4" s="4"/>
      <c r="O4" s="4"/>
      <c r="P4" s="4"/>
      <c r="R4" s="6"/>
      <c r="T4" s="16" t="s">
        <v>2</v>
      </c>
    </row>
    <row r="5" spans="1:21" x14ac:dyDescent="0.25">
      <c r="A5" s="1" t="s">
        <v>3</v>
      </c>
      <c r="B5" s="4"/>
      <c r="C5" s="4">
        <f t="shared" ref="C5:K5" si="0">ABS(C4-B4)</f>
        <v>2.8940000000000055</v>
      </c>
      <c r="D5" s="4">
        <f t="shared" si="0"/>
        <v>2.0330000000000013</v>
      </c>
      <c r="E5" s="4">
        <f t="shared" si="0"/>
        <v>2.2489999999999952</v>
      </c>
      <c r="F5" s="4">
        <f t="shared" si="0"/>
        <v>2.4989999999999952</v>
      </c>
      <c r="G5" s="4">
        <f t="shared" si="0"/>
        <v>3.3780000000000001</v>
      </c>
      <c r="H5" s="4">
        <f t="shared" si="0"/>
        <v>0.69700000000000273</v>
      </c>
      <c r="I5" s="4">
        <f t="shared" si="0"/>
        <v>0.66899999999999693</v>
      </c>
      <c r="J5" s="4">
        <f t="shared" si="0"/>
        <v>1.1910000000000025</v>
      </c>
      <c r="K5" s="4">
        <f t="shared" si="0"/>
        <v>1.0160000000000053</v>
      </c>
      <c r="L5" s="4"/>
      <c r="M5" s="4"/>
      <c r="N5" s="4"/>
      <c r="O5" s="4"/>
      <c r="P5" s="4"/>
      <c r="R5" s="7"/>
      <c r="S5" s="8"/>
      <c r="T5" s="15" t="s">
        <v>4</v>
      </c>
      <c r="U5" s="17">
        <f>U11/(6*U18)</f>
        <v>4.0707325875135316</v>
      </c>
    </row>
    <row r="6" spans="1:21" x14ac:dyDescent="0.25">
      <c r="A6" s="1" t="s">
        <v>5</v>
      </c>
      <c r="B6" s="4">
        <v>125</v>
      </c>
      <c r="C6" s="4">
        <f t="shared" ref="C6:K6" si="1">$B$6</f>
        <v>125</v>
      </c>
      <c r="D6" s="4">
        <f t="shared" si="1"/>
        <v>125</v>
      </c>
      <c r="E6" s="4">
        <f t="shared" si="1"/>
        <v>125</v>
      </c>
      <c r="F6" s="4">
        <f t="shared" si="1"/>
        <v>125</v>
      </c>
      <c r="G6" s="4">
        <f t="shared" si="1"/>
        <v>125</v>
      </c>
      <c r="H6" s="4">
        <f t="shared" si="1"/>
        <v>125</v>
      </c>
      <c r="I6" s="4">
        <f t="shared" si="1"/>
        <v>125</v>
      </c>
      <c r="J6" s="4">
        <f t="shared" si="1"/>
        <v>125</v>
      </c>
      <c r="K6" s="4">
        <f t="shared" si="1"/>
        <v>125</v>
      </c>
      <c r="L6" s="4"/>
      <c r="M6" s="4"/>
      <c r="N6" s="4"/>
      <c r="O6" s="4"/>
      <c r="P6" s="4"/>
      <c r="Q6" s="8"/>
      <c r="S6" s="8"/>
      <c r="T6" s="15" t="s">
        <v>6</v>
      </c>
      <c r="U6" s="14">
        <f>MIN(U19:U20)</f>
        <v>1.2159278238902926</v>
      </c>
    </row>
    <row r="7" spans="1:21" x14ac:dyDescent="0.25">
      <c r="A7" s="1" t="s">
        <v>7</v>
      </c>
      <c r="B7" s="4">
        <v>85</v>
      </c>
      <c r="C7" s="4">
        <f t="shared" ref="C7:K7" si="2">$B$7</f>
        <v>85</v>
      </c>
      <c r="D7" s="4">
        <f t="shared" si="2"/>
        <v>85</v>
      </c>
      <c r="E7" s="4">
        <f t="shared" si="2"/>
        <v>85</v>
      </c>
      <c r="F7" s="4">
        <f t="shared" si="2"/>
        <v>85</v>
      </c>
      <c r="G7" s="4">
        <f t="shared" si="2"/>
        <v>85</v>
      </c>
      <c r="H7" s="4">
        <f t="shared" si="2"/>
        <v>85</v>
      </c>
      <c r="I7" s="4">
        <f t="shared" si="2"/>
        <v>85</v>
      </c>
      <c r="J7" s="4">
        <f t="shared" si="2"/>
        <v>85</v>
      </c>
      <c r="K7" s="4">
        <f t="shared" si="2"/>
        <v>85</v>
      </c>
      <c r="L7" s="4"/>
      <c r="M7" s="4"/>
      <c r="N7" s="4"/>
      <c r="O7" s="4"/>
      <c r="P7" s="4"/>
      <c r="Q7" s="8"/>
      <c r="S7" s="8"/>
      <c r="T7" s="15" t="s">
        <v>8</v>
      </c>
      <c r="U7" s="17">
        <f>(U9-U10)/U14</f>
        <v>3.6545406785290298</v>
      </c>
    </row>
    <row r="8" spans="1:21" x14ac:dyDescent="0.25">
      <c r="A8" s="1" t="s">
        <v>9</v>
      </c>
      <c r="B8" s="4">
        <f>R13+R15*R14</f>
        <v>95.887906666666666</v>
      </c>
      <c r="C8" s="4">
        <f t="shared" ref="C8:K8" si="3">$B$8</f>
        <v>95.887906666666666</v>
      </c>
      <c r="D8" s="4">
        <f t="shared" si="3"/>
        <v>95.887906666666666</v>
      </c>
      <c r="E8" s="4">
        <f t="shared" si="3"/>
        <v>95.887906666666666</v>
      </c>
      <c r="F8" s="4">
        <f t="shared" si="3"/>
        <v>95.887906666666666</v>
      </c>
      <c r="G8" s="4">
        <f t="shared" si="3"/>
        <v>95.887906666666666</v>
      </c>
      <c r="H8" s="4">
        <f t="shared" si="3"/>
        <v>95.887906666666666</v>
      </c>
      <c r="I8" s="4">
        <f t="shared" si="3"/>
        <v>95.887906666666666</v>
      </c>
      <c r="J8" s="4">
        <f t="shared" si="3"/>
        <v>95.887906666666666</v>
      </c>
      <c r="K8" s="4">
        <f t="shared" si="3"/>
        <v>95.887906666666666</v>
      </c>
      <c r="L8" s="4"/>
      <c r="M8" s="4"/>
      <c r="N8" s="4"/>
      <c r="O8" s="4"/>
      <c r="P8" s="4"/>
      <c r="Q8" s="22" t="s">
        <v>10</v>
      </c>
      <c r="R8" s="21"/>
      <c r="S8" s="8"/>
      <c r="T8" s="15" t="s">
        <v>11</v>
      </c>
      <c r="U8" s="14">
        <f>MIN(U15:U16)</f>
        <v>1.0916113006766219</v>
      </c>
    </row>
    <row r="9" spans="1:21" x14ac:dyDescent="0.25">
      <c r="A9" s="1" t="s">
        <v>12</v>
      </c>
      <c r="B9" s="4">
        <f>R13-R15*R14</f>
        <v>86.060093333333342</v>
      </c>
      <c r="C9" s="4">
        <f t="shared" ref="C9:K9" si="4">$B$9</f>
        <v>86.060093333333342</v>
      </c>
      <c r="D9" s="4">
        <f t="shared" si="4"/>
        <v>86.060093333333342</v>
      </c>
      <c r="E9" s="4">
        <f t="shared" si="4"/>
        <v>86.060093333333342</v>
      </c>
      <c r="F9" s="4">
        <f t="shared" si="4"/>
        <v>86.060093333333342</v>
      </c>
      <c r="G9" s="4">
        <f t="shared" si="4"/>
        <v>86.060093333333342</v>
      </c>
      <c r="H9" s="4">
        <f t="shared" si="4"/>
        <v>86.060093333333342</v>
      </c>
      <c r="I9" s="4">
        <f t="shared" si="4"/>
        <v>86.060093333333342</v>
      </c>
      <c r="J9" s="4">
        <f t="shared" si="4"/>
        <v>86.060093333333342</v>
      </c>
      <c r="K9" s="4">
        <f t="shared" si="4"/>
        <v>86.060093333333342</v>
      </c>
      <c r="L9" s="4"/>
      <c r="M9" s="4"/>
      <c r="N9" s="4"/>
      <c r="O9" s="4"/>
      <c r="P9" s="4"/>
      <c r="Q9" s="22" t="s">
        <v>13</v>
      </c>
      <c r="R9" s="21"/>
      <c r="S9" s="8"/>
      <c r="T9" s="8" t="s">
        <v>5</v>
      </c>
      <c r="U9" s="14">
        <f>B6</f>
        <v>125</v>
      </c>
    </row>
    <row r="10" spans="1:21" x14ac:dyDescent="0.25">
      <c r="A10" s="1" t="s">
        <v>14</v>
      </c>
      <c r="B10" s="4">
        <f>R16*R14</f>
        <v>6.0352380000000014</v>
      </c>
      <c r="C10" s="4">
        <f t="shared" ref="C10:K10" si="5">$B$10</f>
        <v>6.0352380000000014</v>
      </c>
      <c r="D10" s="4">
        <f t="shared" si="5"/>
        <v>6.0352380000000014</v>
      </c>
      <c r="E10" s="4">
        <f t="shared" si="5"/>
        <v>6.0352380000000014</v>
      </c>
      <c r="F10" s="4">
        <f t="shared" si="5"/>
        <v>6.0352380000000014</v>
      </c>
      <c r="G10" s="4">
        <f t="shared" si="5"/>
        <v>6.0352380000000014</v>
      </c>
      <c r="H10" s="4">
        <f t="shared" si="5"/>
        <v>6.0352380000000014</v>
      </c>
      <c r="I10" s="4">
        <f t="shared" si="5"/>
        <v>6.0352380000000014</v>
      </c>
      <c r="J10" s="4">
        <f t="shared" si="5"/>
        <v>6.0352380000000014</v>
      </c>
      <c r="K10" s="4">
        <f t="shared" si="5"/>
        <v>6.0352380000000014</v>
      </c>
      <c r="L10" s="4"/>
      <c r="M10" s="4"/>
      <c r="N10" s="4"/>
      <c r="O10" s="4"/>
      <c r="P10" s="4"/>
      <c r="Q10" s="20" t="s">
        <v>15</v>
      </c>
      <c r="R10" s="21"/>
      <c r="T10" s="8" t="s">
        <v>7</v>
      </c>
      <c r="U10" s="14">
        <f>B7</f>
        <v>85</v>
      </c>
    </row>
    <row r="11" spans="1:21" x14ac:dyDescent="0.25">
      <c r="A11" s="1" t="s">
        <v>16</v>
      </c>
      <c r="B11" s="4">
        <f>R17*R14</f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/>
      <c r="M11" s="4"/>
      <c r="N11" s="4"/>
      <c r="O11" s="4"/>
      <c r="P11" s="4"/>
      <c r="Q11" s="20" t="s">
        <v>17</v>
      </c>
      <c r="R11" s="21"/>
      <c r="T11" s="8" t="s">
        <v>18</v>
      </c>
      <c r="U11" s="14">
        <f>U9-U10</f>
        <v>40</v>
      </c>
    </row>
    <row r="12" spans="1:21" x14ac:dyDescent="0.25">
      <c r="A12" s="1" t="s">
        <v>19</v>
      </c>
      <c r="B12" s="4">
        <f t="shared" ref="B12:K12" si="6">$R$13</f>
        <v>90.974000000000004</v>
      </c>
      <c r="C12" s="4">
        <f t="shared" si="6"/>
        <v>90.974000000000004</v>
      </c>
      <c r="D12" s="4">
        <f t="shared" si="6"/>
        <v>90.974000000000004</v>
      </c>
      <c r="E12" s="4">
        <f t="shared" si="6"/>
        <v>90.974000000000004</v>
      </c>
      <c r="F12" s="4">
        <f t="shared" si="6"/>
        <v>90.974000000000004</v>
      </c>
      <c r="G12" s="4">
        <f t="shared" si="6"/>
        <v>90.974000000000004</v>
      </c>
      <c r="H12" s="4">
        <f t="shared" si="6"/>
        <v>90.974000000000004</v>
      </c>
      <c r="I12" s="4">
        <f t="shared" si="6"/>
        <v>90.974000000000004</v>
      </c>
      <c r="J12" s="4">
        <f t="shared" si="6"/>
        <v>90.974000000000004</v>
      </c>
      <c r="K12" s="4">
        <f t="shared" si="6"/>
        <v>90.974000000000004</v>
      </c>
      <c r="L12" s="4"/>
      <c r="M12" s="4"/>
      <c r="N12" s="4"/>
      <c r="O12" s="4"/>
      <c r="P12" s="4"/>
      <c r="T12" s="8" t="s">
        <v>20</v>
      </c>
      <c r="U12" s="14">
        <f>_xlfn.STDEV.S(B4:P4)</f>
        <v>1.8242146559851764</v>
      </c>
    </row>
    <row r="13" spans="1:21" x14ac:dyDescent="0.25">
      <c r="D13" s="8"/>
      <c r="E13" s="8"/>
      <c r="H13" s="8"/>
      <c r="K13" s="8"/>
      <c r="L13" s="8"/>
      <c r="M13" s="8"/>
      <c r="N13" s="8"/>
      <c r="O13" s="8"/>
      <c r="P13" s="8"/>
      <c r="Q13" s="9" t="s">
        <v>19</v>
      </c>
      <c r="R13" s="10">
        <f>AVERAGE(B4:P4)</f>
        <v>90.974000000000004</v>
      </c>
      <c r="T13" s="8" t="s">
        <v>21</v>
      </c>
      <c r="U13" s="14">
        <f>3*U12</f>
        <v>5.4726439679555288</v>
      </c>
    </row>
    <row r="14" spans="1:21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 t="s">
        <v>22</v>
      </c>
      <c r="R14" s="10">
        <f>AVERAGE(C5:P5)</f>
        <v>1.8473333333333339</v>
      </c>
      <c r="T14" s="8" t="s">
        <v>23</v>
      </c>
      <c r="U14" s="14">
        <f>6*U12</f>
        <v>10.945287935911058</v>
      </c>
    </row>
    <row r="15" spans="1:21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 t="s">
        <v>24</v>
      </c>
      <c r="R15" s="13">
        <v>2.66</v>
      </c>
      <c r="T15" s="19" t="s">
        <v>25</v>
      </c>
      <c r="U15" s="14">
        <f>(U9-R13)/U13</f>
        <v>6.2174700563814378</v>
      </c>
    </row>
    <row r="16" spans="1:21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 t="s">
        <v>26</v>
      </c>
      <c r="R16" s="13">
        <v>3.2669999999999999</v>
      </c>
      <c r="S16" s="8"/>
      <c r="T16" s="19" t="s">
        <v>27</v>
      </c>
      <c r="U16" s="14">
        <f>(R13-U10)/U13</f>
        <v>1.0916113006766219</v>
      </c>
    </row>
    <row r="17" spans="2:21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 t="s">
        <v>28</v>
      </c>
      <c r="R17" s="13">
        <v>0</v>
      </c>
      <c r="S17" s="8"/>
      <c r="T17" s="8" t="s">
        <v>29</v>
      </c>
      <c r="U17" s="18">
        <v>1.1279999999999999</v>
      </c>
    </row>
    <row r="18" spans="2:21" x14ac:dyDescent="0.25">
      <c r="D18" s="8"/>
      <c r="E18" s="8"/>
      <c r="G18" s="8"/>
      <c r="H18" s="8"/>
      <c r="K18" s="8"/>
      <c r="L18" s="8"/>
      <c r="M18" s="8"/>
      <c r="N18" s="8"/>
      <c r="O18" s="8"/>
      <c r="P18" s="8"/>
      <c r="Q18" s="8"/>
      <c r="S18" s="8"/>
      <c r="T18" s="8" t="s">
        <v>30</v>
      </c>
      <c r="U18" s="14">
        <f>R14/U17</f>
        <v>1.637706855791963</v>
      </c>
    </row>
    <row r="19" spans="2:21" x14ac:dyDescent="0.25">
      <c r="D19" s="8"/>
      <c r="E19" s="8"/>
      <c r="G19" s="8"/>
      <c r="H19" s="8"/>
      <c r="K19" s="8"/>
      <c r="L19" s="8"/>
      <c r="M19" s="8"/>
      <c r="N19" s="8"/>
      <c r="O19" s="8"/>
      <c r="P19" s="8"/>
      <c r="Q19" s="8"/>
      <c r="S19" s="8"/>
      <c r="T19" s="19" t="s">
        <v>31</v>
      </c>
      <c r="U19" s="14">
        <f>(U9-R13)/(3*U18)</f>
        <v>6.9255373511367697</v>
      </c>
    </row>
    <row r="20" spans="2:21" x14ac:dyDescent="0.25">
      <c r="Q20" s="8"/>
      <c r="T20" s="19" t="s">
        <v>32</v>
      </c>
      <c r="U20" s="14">
        <f>(R13-U10)/(3*U18)</f>
        <v>1.2159278238902926</v>
      </c>
    </row>
    <row r="21" spans="2:21" x14ac:dyDescent="0.25">
      <c r="Q21" s="8"/>
    </row>
    <row r="27" spans="2:21" x14ac:dyDescent="0.25">
      <c r="U27" s="18"/>
    </row>
  </sheetData>
  <mergeCells count="4">
    <mergeCell ref="Q11:R11"/>
    <mergeCell ref="Q10:R10"/>
    <mergeCell ref="Q9:R9"/>
    <mergeCell ref="Q8:R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37"/>
  <sheetViews>
    <sheetView tabSelected="1" topLeftCell="E1" zoomScale="130" zoomScaleNormal="130" workbookViewId="0">
      <selection activeCell="T5" sqref="T5:U8"/>
    </sheetView>
  </sheetViews>
  <sheetFormatPr baseColWidth="10" defaultColWidth="9.140625" defaultRowHeight="15" x14ac:dyDescent="0.25"/>
  <cols>
    <col min="1" max="1" width="11.28515625" customWidth="1"/>
    <col min="2" max="16" width="6.140625" bestFit="1" customWidth="1"/>
    <col min="17" max="17" width="7" customWidth="1"/>
    <col min="18" max="18" width="10.5703125" style="3" customWidth="1"/>
    <col min="19" max="19" width="5.7109375" customWidth="1"/>
    <col min="20" max="20" width="12.5703125" bestFit="1" customWidth="1"/>
    <col min="21" max="21" width="24.42578125" bestFit="1" customWidth="1"/>
    <col min="22" max="24" width="5.7109375" customWidth="1"/>
    <col min="25" max="25" width="6.5703125" bestFit="1" customWidth="1"/>
    <col min="26" max="26" width="5.7109375" customWidth="1"/>
    <col min="27" max="27" width="10.7109375" bestFit="1" customWidth="1"/>
    <col min="28" max="33" width="5.7109375" customWidth="1"/>
  </cols>
  <sheetData>
    <row r="2" spans="1:21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</row>
    <row r="3" spans="1:21" ht="4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1" ht="18.75" customHeight="1" x14ac:dyDescent="0.25">
      <c r="A4" s="1" t="s">
        <v>1</v>
      </c>
      <c r="B4" s="4">
        <v>97.296000000000006</v>
      </c>
      <c r="C4" s="4">
        <v>99.822000000000003</v>
      </c>
      <c r="D4" s="4">
        <v>94.106999999999999</v>
      </c>
      <c r="E4" s="4">
        <v>93.748000000000005</v>
      </c>
      <c r="F4" s="4">
        <v>103.55200000000001</v>
      </c>
      <c r="G4" s="4">
        <v>101.56699999999999</v>
      </c>
      <c r="H4" s="4">
        <v>102.752</v>
      </c>
      <c r="I4" s="5">
        <v>98.266999999999996</v>
      </c>
      <c r="J4" s="5">
        <v>101.346</v>
      </c>
      <c r="K4" s="5">
        <v>99.826999999999998</v>
      </c>
      <c r="L4" s="5">
        <v>98.4</v>
      </c>
      <c r="M4" s="5">
        <v>95.974999999999994</v>
      </c>
      <c r="N4" s="5">
        <v>97.977999999999994</v>
      </c>
      <c r="O4" s="5">
        <v>101.292</v>
      </c>
      <c r="P4" s="5">
        <v>98.081999999999994</v>
      </c>
      <c r="R4" s="6"/>
      <c r="T4" s="16" t="s">
        <v>2</v>
      </c>
    </row>
    <row r="5" spans="1:21" x14ac:dyDescent="0.25">
      <c r="A5" s="1" t="s">
        <v>3</v>
      </c>
      <c r="B5" s="4"/>
      <c r="C5" s="4">
        <f t="shared" ref="C5:P5" si="0">ABS(C4-B4)</f>
        <v>2.5259999999999962</v>
      </c>
      <c r="D5" s="4">
        <f t="shared" si="0"/>
        <v>5.7150000000000034</v>
      </c>
      <c r="E5" s="4">
        <f t="shared" si="0"/>
        <v>0.35899999999999466</v>
      </c>
      <c r="F5" s="4">
        <f t="shared" si="0"/>
        <v>9.804000000000002</v>
      </c>
      <c r="G5" s="4">
        <f t="shared" si="0"/>
        <v>1.9850000000000136</v>
      </c>
      <c r="H5" s="4">
        <f t="shared" si="0"/>
        <v>1.1850000000000023</v>
      </c>
      <c r="I5" s="4">
        <f t="shared" si="0"/>
        <v>4.4849999999999994</v>
      </c>
      <c r="J5" s="4">
        <f t="shared" si="0"/>
        <v>3.0790000000000077</v>
      </c>
      <c r="K5" s="4">
        <f t="shared" si="0"/>
        <v>1.5190000000000055</v>
      </c>
      <c r="L5" s="4">
        <f t="shared" si="0"/>
        <v>1.4269999999999925</v>
      </c>
      <c r="M5" s="4">
        <f t="shared" si="0"/>
        <v>2.4250000000000114</v>
      </c>
      <c r="N5" s="4">
        <f t="shared" si="0"/>
        <v>2.0030000000000001</v>
      </c>
      <c r="O5" s="4">
        <f t="shared" si="0"/>
        <v>3.3140000000000072</v>
      </c>
      <c r="P5" s="4">
        <f t="shared" si="0"/>
        <v>3.210000000000008</v>
      </c>
      <c r="R5" s="7"/>
      <c r="S5" s="8"/>
      <c r="T5" s="15" t="s">
        <v>4</v>
      </c>
      <c r="U5" s="17">
        <f>U11/(6*U18)</f>
        <v>2.4463240078074144</v>
      </c>
    </row>
    <row r="6" spans="1:21" x14ac:dyDescent="0.25">
      <c r="A6" s="1" t="s">
        <v>5</v>
      </c>
      <c r="B6" s="4">
        <v>125</v>
      </c>
      <c r="C6" s="4">
        <f t="shared" ref="C6:P6" si="1">$B$6</f>
        <v>125</v>
      </c>
      <c r="D6" s="4">
        <f t="shared" si="1"/>
        <v>125</v>
      </c>
      <c r="E6" s="4">
        <f t="shared" si="1"/>
        <v>125</v>
      </c>
      <c r="F6" s="4">
        <f t="shared" si="1"/>
        <v>125</v>
      </c>
      <c r="G6" s="4">
        <f t="shared" si="1"/>
        <v>125</v>
      </c>
      <c r="H6" s="4">
        <f t="shared" si="1"/>
        <v>125</v>
      </c>
      <c r="I6" s="4">
        <f t="shared" si="1"/>
        <v>125</v>
      </c>
      <c r="J6" s="4">
        <f t="shared" si="1"/>
        <v>125</v>
      </c>
      <c r="K6" s="4">
        <f t="shared" si="1"/>
        <v>125</v>
      </c>
      <c r="L6" s="4">
        <f t="shared" si="1"/>
        <v>125</v>
      </c>
      <c r="M6" s="4">
        <f t="shared" si="1"/>
        <v>125</v>
      </c>
      <c r="N6" s="4">
        <f t="shared" si="1"/>
        <v>125</v>
      </c>
      <c r="O6" s="4">
        <f t="shared" si="1"/>
        <v>125</v>
      </c>
      <c r="P6" s="4">
        <f t="shared" si="1"/>
        <v>125</v>
      </c>
      <c r="Q6" s="8"/>
      <c r="S6" s="8"/>
      <c r="T6" s="15" t="s">
        <v>6</v>
      </c>
      <c r="U6" s="14">
        <f>MIN(U19:U20)</f>
        <v>1.704362090652785</v>
      </c>
    </row>
    <row r="7" spans="1:21" x14ac:dyDescent="0.25">
      <c r="A7" s="1" t="s">
        <v>7</v>
      </c>
      <c r="B7" s="4">
        <v>85</v>
      </c>
      <c r="C7" s="4">
        <f t="shared" ref="C7:P7" si="2">$B$7</f>
        <v>85</v>
      </c>
      <c r="D7" s="4">
        <f t="shared" si="2"/>
        <v>85</v>
      </c>
      <c r="E7" s="4">
        <f t="shared" si="2"/>
        <v>85</v>
      </c>
      <c r="F7" s="4">
        <f t="shared" si="2"/>
        <v>85</v>
      </c>
      <c r="G7" s="4">
        <f t="shared" si="2"/>
        <v>85</v>
      </c>
      <c r="H7" s="4">
        <f t="shared" si="2"/>
        <v>85</v>
      </c>
      <c r="I7" s="4">
        <f t="shared" si="2"/>
        <v>85</v>
      </c>
      <c r="J7" s="4">
        <f t="shared" si="2"/>
        <v>85</v>
      </c>
      <c r="K7" s="4">
        <f t="shared" si="2"/>
        <v>85</v>
      </c>
      <c r="L7" s="4">
        <f t="shared" si="2"/>
        <v>85</v>
      </c>
      <c r="M7" s="4">
        <f t="shared" si="2"/>
        <v>85</v>
      </c>
      <c r="N7" s="4">
        <f t="shared" si="2"/>
        <v>85</v>
      </c>
      <c r="O7" s="4">
        <f t="shared" si="2"/>
        <v>85</v>
      </c>
      <c r="P7" s="4">
        <f t="shared" si="2"/>
        <v>85</v>
      </c>
      <c r="Q7" s="8"/>
      <c r="S7" s="8"/>
      <c r="T7" s="15" t="s">
        <v>8</v>
      </c>
      <c r="U7" s="17">
        <f>(U9-U10)/U14</f>
        <v>2.2789737541517967</v>
      </c>
    </row>
    <row r="8" spans="1:21" x14ac:dyDescent="0.25">
      <c r="A8" s="1" t="s">
        <v>9</v>
      </c>
      <c r="B8" s="4">
        <f>R13+R15*R14</f>
        <v>107.11090666666668</v>
      </c>
      <c r="C8" s="4">
        <f t="shared" ref="C8:P8" si="3">$B$8</f>
        <v>107.11090666666668</v>
      </c>
      <c r="D8" s="4">
        <f t="shared" si="3"/>
        <v>107.11090666666668</v>
      </c>
      <c r="E8" s="4">
        <f t="shared" si="3"/>
        <v>107.11090666666668</v>
      </c>
      <c r="F8" s="4">
        <f t="shared" si="3"/>
        <v>107.11090666666668</v>
      </c>
      <c r="G8" s="4">
        <f t="shared" si="3"/>
        <v>107.11090666666668</v>
      </c>
      <c r="H8" s="4">
        <f t="shared" si="3"/>
        <v>107.11090666666668</v>
      </c>
      <c r="I8" s="4">
        <f t="shared" si="3"/>
        <v>107.11090666666668</v>
      </c>
      <c r="J8" s="4">
        <f t="shared" si="3"/>
        <v>107.11090666666668</v>
      </c>
      <c r="K8" s="4">
        <f t="shared" si="3"/>
        <v>107.11090666666668</v>
      </c>
      <c r="L8" s="4">
        <f t="shared" si="3"/>
        <v>107.11090666666668</v>
      </c>
      <c r="M8" s="4">
        <f t="shared" si="3"/>
        <v>107.11090666666668</v>
      </c>
      <c r="N8" s="4">
        <f t="shared" si="3"/>
        <v>107.11090666666668</v>
      </c>
      <c r="O8" s="4">
        <f t="shared" si="3"/>
        <v>107.11090666666668</v>
      </c>
      <c r="P8" s="4">
        <f t="shared" si="3"/>
        <v>107.11090666666668</v>
      </c>
      <c r="Q8" s="22" t="s">
        <v>10</v>
      </c>
      <c r="R8" s="21"/>
      <c r="S8" s="8"/>
      <c r="T8" s="15" t="s">
        <v>11</v>
      </c>
      <c r="U8" s="14">
        <f>MIN(U15:U16)</f>
        <v>1.5877686110967371</v>
      </c>
    </row>
    <row r="9" spans="1:21" x14ac:dyDescent="0.25">
      <c r="A9" s="1" t="s">
        <v>12</v>
      </c>
      <c r="B9" s="4">
        <f>R13-R15*R14</f>
        <v>90.757226666666654</v>
      </c>
      <c r="C9" s="4">
        <f t="shared" ref="C9:P9" si="4">$B$9</f>
        <v>90.757226666666654</v>
      </c>
      <c r="D9" s="4">
        <f t="shared" si="4"/>
        <v>90.757226666666654</v>
      </c>
      <c r="E9" s="4">
        <f t="shared" si="4"/>
        <v>90.757226666666654</v>
      </c>
      <c r="F9" s="4">
        <f t="shared" si="4"/>
        <v>90.757226666666654</v>
      </c>
      <c r="G9" s="4">
        <f t="shared" si="4"/>
        <v>90.757226666666654</v>
      </c>
      <c r="H9" s="4">
        <f t="shared" si="4"/>
        <v>90.757226666666654</v>
      </c>
      <c r="I9" s="4">
        <f t="shared" si="4"/>
        <v>90.757226666666654</v>
      </c>
      <c r="J9" s="4">
        <f t="shared" si="4"/>
        <v>90.757226666666654</v>
      </c>
      <c r="K9" s="4">
        <f t="shared" si="4"/>
        <v>90.757226666666654</v>
      </c>
      <c r="L9" s="4">
        <f t="shared" si="4"/>
        <v>90.757226666666654</v>
      </c>
      <c r="M9" s="4">
        <f t="shared" si="4"/>
        <v>90.757226666666654</v>
      </c>
      <c r="N9" s="4">
        <f t="shared" si="4"/>
        <v>90.757226666666654</v>
      </c>
      <c r="O9" s="4">
        <f t="shared" si="4"/>
        <v>90.757226666666654</v>
      </c>
      <c r="P9" s="4">
        <f t="shared" si="4"/>
        <v>90.757226666666654</v>
      </c>
      <c r="Q9" s="22" t="s">
        <v>13</v>
      </c>
      <c r="R9" s="21"/>
      <c r="S9" s="8"/>
      <c r="T9" s="8" t="s">
        <v>5</v>
      </c>
      <c r="U9" s="14">
        <f>B6</f>
        <v>125</v>
      </c>
    </row>
    <row r="10" spans="1:21" x14ac:dyDescent="0.25">
      <c r="A10" s="1" t="s">
        <v>14</v>
      </c>
      <c r="B10" s="4">
        <f>R16*R14</f>
        <v>10.04275800000001</v>
      </c>
      <c r="C10" s="4">
        <f t="shared" ref="C10:P10" si="5">$B$10</f>
        <v>10.04275800000001</v>
      </c>
      <c r="D10" s="4">
        <f t="shared" si="5"/>
        <v>10.04275800000001</v>
      </c>
      <c r="E10" s="4">
        <f t="shared" si="5"/>
        <v>10.04275800000001</v>
      </c>
      <c r="F10" s="4">
        <f t="shared" si="5"/>
        <v>10.04275800000001</v>
      </c>
      <c r="G10" s="4">
        <f t="shared" si="5"/>
        <v>10.04275800000001</v>
      </c>
      <c r="H10" s="4">
        <f t="shared" si="5"/>
        <v>10.04275800000001</v>
      </c>
      <c r="I10" s="4">
        <f t="shared" si="5"/>
        <v>10.04275800000001</v>
      </c>
      <c r="J10" s="4">
        <f t="shared" si="5"/>
        <v>10.04275800000001</v>
      </c>
      <c r="K10" s="4">
        <f t="shared" si="5"/>
        <v>10.04275800000001</v>
      </c>
      <c r="L10" s="4">
        <f t="shared" si="5"/>
        <v>10.04275800000001</v>
      </c>
      <c r="M10" s="4">
        <f t="shared" si="5"/>
        <v>10.04275800000001</v>
      </c>
      <c r="N10" s="4">
        <f t="shared" si="5"/>
        <v>10.04275800000001</v>
      </c>
      <c r="O10" s="4">
        <f t="shared" si="5"/>
        <v>10.04275800000001</v>
      </c>
      <c r="P10" s="4">
        <f t="shared" si="5"/>
        <v>10.04275800000001</v>
      </c>
      <c r="Q10" s="20" t="s">
        <v>15</v>
      </c>
      <c r="R10" s="21"/>
      <c r="T10" s="8" t="s">
        <v>7</v>
      </c>
      <c r="U10" s="14">
        <f>B7</f>
        <v>85</v>
      </c>
    </row>
    <row r="11" spans="1:21" x14ac:dyDescent="0.25">
      <c r="A11" s="1" t="s">
        <v>16</v>
      </c>
      <c r="B11" s="4">
        <f>R17*R14</f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20" t="s">
        <v>17</v>
      </c>
      <c r="R11" s="21"/>
      <c r="T11" s="8" t="s">
        <v>18</v>
      </c>
      <c r="U11" s="14">
        <f>U9-U10</f>
        <v>40</v>
      </c>
    </row>
    <row r="12" spans="1:21" x14ac:dyDescent="0.25">
      <c r="A12" s="1" t="s">
        <v>19</v>
      </c>
      <c r="B12" s="4">
        <f t="shared" ref="B12:P12" si="6">$R$13</f>
        <v>98.934066666666666</v>
      </c>
      <c r="C12" s="4">
        <f t="shared" si="6"/>
        <v>98.934066666666666</v>
      </c>
      <c r="D12" s="4">
        <f t="shared" si="6"/>
        <v>98.934066666666666</v>
      </c>
      <c r="E12" s="4">
        <f t="shared" si="6"/>
        <v>98.934066666666666</v>
      </c>
      <c r="F12" s="4">
        <f t="shared" si="6"/>
        <v>98.934066666666666</v>
      </c>
      <c r="G12" s="4">
        <f t="shared" si="6"/>
        <v>98.934066666666666</v>
      </c>
      <c r="H12" s="4">
        <f t="shared" si="6"/>
        <v>98.934066666666666</v>
      </c>
      <c r="I12" s="4">
        <f t="shared" si="6"/>
        <v>98.934066666666666</v>
      </c>
      <c r="J12" s="4">
        <f t="shared" si="6"/>
        <v>98.934066666666666</v>
      </c>
      <c r="K12" s="4">
        <f t="shared" si="6"/>
        <v>98.934066666666666</v>
      </c>
      <c r="L12" s="4">
        <f t="shared" si="6"/>
        <v>98.934066666666666</v>
      </c>
      <c r="M12" s="4">
        <f t="shared" si="6"/>
        <v>98.934066666666666</v>
      </c>
      <c r="N12" s="4">
        <f t="shared" si="6"/>
        <v>98.934066666666666</v>
      </c>
      <c r="O12" s="4">
        <f t="shared" si="6"/>
        <v>98.934066666666666</v>
      </c>
      <c r="P12" s="4">
        <f t="shared" si="6"/>
        <v>98.934066666666666</v>
      </c>
      <c r="T12" s="8" t="s">
        <v>20</v>
      </c>
      <c r="U12" s="14">
        <f>_xlfn.STDEV.S(B4:P4)</f>
        <v>2.925293305603649</v>
      </c>
    </row>
    <row r="13" spans="1:21" x14ac:dyDescent="0.25">
      <c r="D13" s="8"/>
      <c r="E13" s="8"/>
      <c r="H13" s="8"/>
      <c r="K13" s="8"/>
      <c r="L13" s="8"/>
      <c r="M13" s="8"/>
      <c r="N13" s="8"/>
      <c r="O13" s="8"/>
      <c r="P13" s="8"/>
      <c r="Q13" s="9" t="s">
        <v>19</v>
      </c>
      <c r="R13" s="10">
        <f>AVERAGE(B4:P4)</f>
        <v>98.934066666666666</v>
      </c>
      <c r="T13" s="8" t="s">
        <v>21</v>
      </c>
      <c r="U13" s="14">
        <f>3*U12</f>
        <v>8.7758799168109469</v>
      </c>
    </row>
    <row r="14" spans="1:21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 t="s">
        <v>22</v>
      </c>
      <c r="R14" s="10">
        <f>AVERAGE(C5:P5)</f>
        <v>3.074000000000003</v>
      </c>
      <c r="T14" s="8" t="s">
        <v>23</v>
      </c>
      <c r="U14" s="14">
        <f>6*U12</f>
        <v>17.551759833621894</v>
      </c>
    </row>
    <row r="15" spans="1:21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 t="s">
        <v>24</v>
      </c>
      <c r="R15" s="13">
        <v>2.66</v>
      </c>
      <c r="T15" s="19" t="s">
        <v>25</v>
      </c>
      <c r="U15" s="14">
        <f>(U9-R13)/U13</f>
        <v>2.9701788972068561</v>
      </c>
    </row>
    <row r="16" spans="1:21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 t="s">
        <v>26</v>
      </c>
      <c r="R16" s="13">
        <v>3.2669999999999999</v>
      </c>
      <c r="S16" s="8"/>
      <c r="T16" s="19" t="s">
        <v>27</v>
      </c>
      <c r="U16" s="14">
        <f>(R13-U10)/U13</f>
        <v>1.5877686110967371</v>
      </c>
    </row>
    <row r="17" spans="2:25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 t="s">
        <v>28</v>
      </c>
      <c r="R17" s="13">
        <v>0</v>
      </c>
      <c r="S17" s="8"/>
      <c r="T17" s="8" t="s">
        <v>29</v>
      </c>
      <c r="U17" s="18">
        <v>1.1279999999999999</v>
      </c>
    </row>
    <row r="18" spans="2:25" x14ac:dyDescent="0.25">
      <c r="D18" s="8"/>
      <c r="E18" s="8"/>
      <c r="G18" s="8"/>
      <c r="H18" s="8"/>
      <c r="K18" s="8"/>
      <c r="L18" s="8"/>
      <c r="M18" s="8"/>
      <c r="N18" s="8"/>
      <c r="O18" s="8"/>
      <c r="P18" s="8"/>
      <c r="Q18" s="8"/>
      <c r="S18" s="8"/>
      <c r="T18" s="8" t="s">
        <v>30</v>
      </c>
      <c r="U18" s="14">
        <f>R14/U17</f>
        <v>2.725177304964542</v>
      </c>
    </row>
    <row r="19" spans="2:25" x14ac:dyDescent="0.25">
      <c r="D19" s="8"/>
      <c r="E19" s="8"/>
      <c r="G19" s="8"/>
      <c r="H19" s="8"/>
      <c r="K19" s="8"/>
      <c r="L19" s="8"/>
      <c r="M19" s="8"/>
      <c r="N19" s="8"/>
      <c r="O19" s="8"/>
      <c r="P19" s="8"/>
      <c r="Q19" s="8"/>
      <c r="S19" s="8"/>
      <c r="T19" s="19" t="s">
        <v>31</v>
      </c>
      <c r="U19" s="14">
        <f>(U9-R13)/(3*U18)</f>
        <v>3.1882859249620443</v>
      </c>
    </row>
    <row r="20" spans="2:25" x14ac:dyDescent="0.25">
      <c r="Q20" s="8"/>
      <c r="T20" s="19" t="s">
        <v>32</v>
      </c>
      <c r="U20" s="14">
        <f>(R13-U10)/(3*U18)</f>
        <v>1.704362090652785</v>
      </c>
      <c r="Y20" s="11"/>
    </row>
    <row r="21" spans="2:25" x14ac:dyDescent="0.25">
      <c r="Q21" s="8"/>
      <c r="Y21" s="11"/>
    </row>
    <row r="22" spans="2:25" x14ac:dyDescent="0.25">
      <c r="Y22" s="11"/>
    </row>
    <row r="23" spans="2:25" x14ac:dyDescent="0.25">
      <c r="Y23" s="11"/>
    </row>
    <row r="24" spans="2:25" x14ac:dyDescent="0.25">
      <c r="Y24" s="11"/>
    </row>
    <row r="25" spans="2:25" x14ac:dyDescent="0.25">
      <c r="Y25" s="11"/>
    </row>
    <row r="26" spans="2:25" x14ac:dyDescent="0.25">
      <c r="Y26" s="11"/>
    </row>
    <row r="27" spans="2:25" x14ac:dyDescent="0.25">
      <c r="Y27" s="11"/>
    </row>
    <row r="28" spans="2:25" x14ac:dyDescent="0.25">
      <c r="Y28" s="11"/>
    </row>
    <row r="29" spans="2:25" x14ac:dyDescent="0.25">
      <c r="Y29" s="11"/>
    </row>
    <row r="30" spans="2:25" x14ac:dyDescent="0.25">
      <c r="Y30" s="11"/>
    </row>
    <row r="31" spans="2:25" x14ac:dyDescent="0.25">
      <c r="Y31" s="11"/>
    </row>
    <row r="32" spans="2:25" x14ac:dyDescent="0.25">
      <c r="Y32" s="11"/>
    </row>
    <row r="33" spans="25:25" x14ac:dyDescent="0.25">
      <c r="Y33" s="11"/>
    </row>
    <row r="34" spans="25:25" x14ac:dyDescent="0.25">
      <c r="Y34" s="11"/>
    </row>
    <row r="35" spans="25:25" x14ac:dyDescent="0.25">
      <c r="Y35" s="11"/>
    </row>
    <row r="36" spans="25:25" x14ac:dyDescent="0.25">
      <c r="Y36" s="11"/>
    </row>
    <row r="37" spans="25:25" x14ac:dyDescent="0.25">
      <c r="Y37" s="11"/>
    </row>
  </sheetData>
  <mergeCells count="4">
    <mergeCell ref="Q11:R11"/>
    <mergeCell ref="Q10:R10"/>
    <mergeCell ref="Q9:R9"/>
    <mergeCell ref="Q8:R8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1. SPC</vt:lpstr>
      <vt:lpstr>2. 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F</dc:creator>
  <cp:lastModifiedBy>Moritz F</cp:lastModifiedBy>
  <dcterms:created xsi:type="dcterms:W3CDTF">2015-06-05T18:19:34Z</dcterms:created>
  <dcterms:modified xsi:type="dcterms:W3CDTF">2026-05-10T09:06:17Z</dcterms:modified>
</cp:coreProperties>
</file>